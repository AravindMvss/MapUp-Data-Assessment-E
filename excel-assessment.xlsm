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Mapup\MapUp-Data-Assessment-E\"/>
    </mc:Choice>
  </mc:AlternateContent>
  <xr:revisionPtr revIDLastSave="0" documentId="13_ncr:1_{0760AB18-76B5-4DE4-82E7-D9B081229D94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D13" i="19"/>
  <c r="D14" i="19"/>
  <c r="D15" i="19"/>
  <c r="D16" i="19"/>
  <c r="D17" i="19"/>
  <c r="D18" i="19"/>
  <c r="D19" i="19"/>
  <c r="D20" i="19"/>
  <c r="D21" i="19"/>
  <c r="D12" i="19"/>
  <c r="F30" i="18"/>
  <c r="C30" i="18"/>
  <c r="D30" i="18"/>
  <c r="E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6" i="18"/>
  <c r="C5" i="15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<sst xmlns="http://schemas.openxmlformats.org/spreadsheetml/2006/main" count="406" uniqueCount="183">
  <si>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</si>
  <si>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</si>
  <si>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</si>
  <si>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</si>
  <si>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</si>
  <si>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</si>
  <si>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</si>
  <si>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</si>
  <si>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</si>
  <si>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</si>
  <si>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</si>
  <si>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</si>
  <si>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</si>
  <si>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</si>
  <si>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</si>
  <si>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</si>
  <si>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</si>
  <si>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</si>
  <si>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</si>
  <si>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</si>
  <si>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</si>
  <si>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</si>
  <si>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</si>
  <si>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</si>
  <si>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</si>
  <si>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</si>
  <si>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</si>
  <si>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</si>
  <si>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</si>
  <si>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</si>
  <si>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</si>
  <si>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</si>
  <si>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</si>
  <si>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</si>
  <si>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</si>
  <si>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</si>
  <si>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</si>
  <si>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</si>
  <si>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</si>
  <si>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</si>
  <si>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</si>
  <si>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</si>
  <si>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</si>
  <si>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</si>
  <si>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</si>
  <si>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</si>
  <si>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</si>
  <si>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</si>
  <si>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</si>
  <si>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</si>
  <si>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</si>
  <si>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</si>
  <si>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</si>
  <si>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</si>
  <si>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</si>
  <si>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</si>
  <si>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</si>
  <si>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</si>
  <si>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</si>
  <si>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</si>
  <si>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</si>
  <si>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</si>
  <si>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</si>
  <si>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</si>
  <si>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</si>
  <si>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</si>
  <si>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</si>
  <si>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</si>
  <si>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</si>
  <si>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</si>
  <si>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</si>
  <si>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</si>
  <si>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</si>
  <si>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</si>
  <si>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</si>
  <si>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</si>
  <si>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</si>
  <si>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</si>
  <si>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</si>
  <si>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</si>
  <si>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</si>
  <si>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</si>
  <si>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</si>
  <si>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</si>
  <si>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</si>
  <si>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</si>
  <si>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</si>
  <si>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</si>
  <si>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</si>
  <si>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</si>
  <si>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</si>
  <si>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</si>
  <si>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</si>
  <si>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</si>
  <si>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</si>
  <si>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</si>
  <si>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</si>
  <si>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</si>
  <si>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</si>
  <si>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</si>
  <si>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</si>
  <si>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</si>
  <si>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</si>
  <si>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</si>
  <si>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</si>
  <si>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</si>
  <si>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</si>
  <si>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</si>
  <si>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</si>
  <si>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</si>
  <si>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</si>
  <si>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</si>
  <si>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</si>
  <si>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</si>
  <si>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</si>
  <si>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</si>
  <si>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</si>
  <si>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</si>
  <si>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</si>
  <si>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</si>
  <si>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</si>
  <si>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</si>
  <si>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</si>
  <si>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</si>
  <si>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</si>
  <si>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</si>
  <si>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</si>
  <si>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</si>
  <si>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</si>
  <si>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</si>
  <si>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</si>
  <si>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</si>
  <si>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</si>
  <si>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</si>
  <si>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</si>
  <si>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</si>
  <si>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</si>
  <si>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</si>
  <si>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</si>
  <si>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</si>
  <si>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</si>
  <si>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</si>
  <si>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</si>
  <si>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</si>
  <si>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</si>
  <si>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</si>
  <si>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</si>
  <si>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</si>
  <si>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</si>
  <si>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</si>
  <si>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</si>
  <si>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</si>
  <si>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</si>
  <si>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</si>
  <si>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</si>
  <si>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</si>
  <si>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</si>
  <si>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</si>
  <si>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</si>
  <si>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</si>
  <si>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</si>
  <si>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</si>
  <si>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</si>
  <si>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</si>
  <si>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</si>
  <si>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</si>
  <si>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</si>
  <si>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</si>
  <si>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</si>
  <si>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</si>
  <si>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</si>
  <si>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</si>
  <si>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</si>
  <si>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</si>
  <si>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</si>
  <si>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</si>
  <si>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</si>
  <si>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Functionality used is Data-&gt; text to columns and split text based on delimiter in the data</t>
  </si>
  <si>
    <t>The above functionality helps to split text to columns with either default or custom delimeter and cell to place the output at.</t>
  </si>
  <si>
    <t>Formula used Is IFNA</t>
  </si>
  <si>
    <t>IFNA Formula can be used to substitute the na/null values with required value to proceed with further calculation.</t>
  </si>
  <si>
    <t>Used INDEX &amp; MATCH function together in order to get the row and column number to get the values from the matrix</t>
  </si>
  <si>
    <t>Index function is used to retrive a value from a array if indexes are specified, Match function helps to get the index.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</si>
</sst>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2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72" fontId="7" fillId="0" borderId="0" xfId="0" applyNumberFormat="1" applyFont="1"/>
    <xf numFmtId="172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3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16" sqref="D16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K1" zoomScaleNormal="100" workbookViewId="0">
      <pane ySplit="1" topLeftCell="A2" activePane="bottomLeft" state="frozen"/>
      <selection pane="bottomLeft" activeCell="F12" sqref="F1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A1:X40">
    <cfRule type="cellIs" dxfId="5" priority="2" operator="equal">
      <formula>-1</formula>
    </cfRule>
  </conditionalFormatting>
  <conditionalFormatting sqref="G1:X40">
    <cfRule type="cellIs" dxfId="4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E10" sqref="E10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SUMIF(Dataset!H:H,"&gt;20",Dataset!H:H)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8" sqref="H2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VLOOKUP(A6,Dataset!$A$1:$X$40,7,0)</f>
        <v>2.7</v>
      </c>
      <c r="C6" s="12">
        <f>VLOOKUP(A6,Dataset!$A$1:$X$40,14,0)</f>
        <v>7.6</v>
      </c>
      <c r="D6" s="12">
        <f>VLOOKUP(A6,Dataset!$A$1:$X$40,18,0)</f>
        <v>4.2</v>
      </c>
      <c r="E6" s="12">
        <f>VLOOKUP(A6,Dataset!$A$1:$X$40,20,0)</f>
        <v>8.9</v>
      </c>
      <c r="F6" s="8">
        <f>VLOOKUP(A6,Dataset!$A$1:$X$40,22,0)</f>
        <v>4.2</v>
      </c>
    </row>
    <row r="7" spans="1:7" ht="15" x14ac:dyDescent="0.25">
      <c r="A7" s="7" t="s">
        <v>4</v>
      </c>
      <c r="B7" s="12">
        <f>VLOOKUP(A7,Dataset!$A$1:$X$40,7,0)</f>
        <v>2.7</v>
      </c>
      <c r="C7" s="12">
        <f>VLOOKUP(A7,Dataset!$A$1:$X$40,14,0)</f>
        <v>7.6</v>
      </c>
      <c r="D7" s="12">
        <f>VLOOKUP(A7,Dataset!$A$1:$X$40,18,0)</f>
        <v>4.2</v>
      </c>
      <c r="E7" s="12">
        <f>VLOOKUP(A7,Dataset!$A$1:$X$40,20,0)</f>
        <v>8.9</v>
      </c>
      <c r="F7" s="8">
        <f>VLOOKUP(A7,Dataset!$A$1:$X$40,22,0)</f>
        <v>4.2</v>
      </c>
    </row>
    <row r="8" spans="1:7" ht="15" x14ac:dyDescent="0.25">
      <c r="A8" s="7" t="s">
        <v>7</v>
      </c>
      <c r="B8" s="12">
        <f>VLOOKUP(A8,Dataset!$A$1:$X$40,7,0)</f>
        <v>3.6</v>
      </c>
      <c r="C8" s="12">
        <f>VLOOKUP(A8,Dataset!$A$1:$X$40,14,0)</f>
        <v>11.1</v>
      </c>
      <c r="D8" s="12">
        <f>VLOOKUP(A8,Dataset!$A$1:$X$40,18,0)</f>
        <v>5.8</v>
      </c>
      <c r="E8" s="12">
        <f>VLOOKUP(A8,Dataset!$A$1:$X$40,20,0)</f>
        <v>12.2</v>
      </c>
      <c r="F8" s="8">
        <f>VLOOKUP(A8,Dataset!$A$1:$X$40,22,0)</f>
        <v>5.8</v>
      </c>
    </row>
    <row r="9" spans="1:7" ht="15" x14ac:dyDescent="0.25">
      <c r="A9" s="7" t="s">
        <v>8</v>
      </c>
      <c r="B9" s="12">
        <f>VLOOKUP(A9,Dataset!$A$1:$X$40,7,0)</f>
        <v>4.9000000000000004</v>
      </c>
      <c r="C9" s="12">
        <f>VLOOKUP(A9,Dataset!$A$1:$X$40,14,0)</f>
        <v>13.3</v>
      </c>
      <c r="D9" s="12">
        <f>VLOOKUP(A9,Dataset!$A$1:$X$40,18,0)</f>
        <v>8.1</v>
      </c>
      <c r="E9" s="12">
        <f>VLOOKUP(A9,Dataset!$A$1:$X$40,20,0)</f>
        <v>17</v>
      </c>
      <c r="F9" s="8">
        <f>VLOOKUP(A9,Dataset!$A$1:$X$40,22,0)</f>
        <v>8.1</v>
      </c>
    </row>
    <row r="10" spans="1:7" ht="15" x14ac:dyDescent="0.25">
      <c r="A10" s="7" t="s">
        <v>11</v>
      </c>
      <c r="B10" s="12">
        <f>VLOOKUP(A10,Dataset!$A$1:$X$40,7,0)</f>
        <v>9.4</v>
      </c>
      <c r="C10" s="12">
        <f>VLOOKUP(A10,Dataset!$A$1:$X$40,14,0)</f>
        <v>28.3</v>
      </c>
      <c r="D10" s="12">
        <f>VLOOKUP(A10,Dataset!$A$1:$X$40,18,0)</f>
        <v>16.100000000000001</v>
      </c>
      <c r="E10" s="12">
        <f>VLOOKUP(A10,Dataset!$A$1:$X$40,20,0)</f>
        <v>32.799999999999997</v>
      </c>
      <c r="F10" s="8">
        <f>VLOOKUP(A10,Dataset!$A$1:$X$40,22,0)</f>
        <v>16.100000000000001</v>
      </c>
    </row>
    <row r="11" spans="1:7" ht="15" x14ac:dyDescent="0.25">
      <c r="A11" s="7" t="s">
        <v>12</v>
      </c>
      <c r="B11" s="12">
        <f>VLOOKUP(A11,Dataset!$A$1:$X$40,7,0)</f>
        <v>11.6</v>
      </c>
      <c r="C11" s="12">
        <f>VLOOKUP(A11,Dataset!$A$1:$X$40,14,0)</f>
        <v>35.200000000000003</v>
      </c>
      <c r="D11" s="12">
        <f>VLOOKUP(A11,Dataset!$A$1:$X$40,18,0)</f>
        <v>21.3</v>
      </c>
      <c r="E11" s="12">
        <f>VLOOKUP(A11,Dataset!$A$1:$X$40,20,0)</f>
        <v>43</v>
      </c>
      <c r="F11" s="8">
        <f>VLOOKUP(A11,Dataset!$A$1:$X$40,22,0)</f>
        <v>21.3</v>
      </c>
    </row>
    <row r="12" spans="1:7" ht="15" x14ac:dyDescent="0.25">
      <c r="A12" s="7" t="s">
        <v>14</v>
      </c>
      <c r="B12" s="12">
        <f>VLOOKUP(A12,Dataset!$A$1:$X$40,7,0)</f>
        <v>18.399999999999999</v>
      </c>
      <c r="C12" s="12">
        <f>VLOOKUP(A12,Dataset!$A$1:$X$40,14,0)</f>
        <v>55.6</v>
      </c>
      <c r="D12" s="12">
        <f>VLOOKUP(A12,Dataset!$A$1:$X$40,18,0)</f>
        <v>33.799999999999997</v>
      </c>
      <c r="E12" s="12">
        <f>VLOOKUP(A12,Dataset!$A$1:$X$40,20,0)</f>
        <v>67.900000000000006</v>
      </c>
      <c r="F12" s="8">
        <f>VLOOKUP(A12,Dataset!$A$1:$X$40,22,0)</f>
        <v>33.799999999999997</v>
      </c>
    </row>
    <row r="13" spans="1:7" ht="15" x14ac:dyDescent="0.25">
      <c r="A13" s="7" t="s">
        <v>15</v>
      </c>
      <c r="B13" s="12">
        <f>VLOOKUP(A13,Dataset!$A$1:$X$40,7,0)</f>
        <v>0</v>
      </c>
      <c r="C13" s="12">
        <f>VLOOKUP(A13,Dataset!$A$1:$X$40,14,0)</f>
        <v>0</v>
      </c>
      <c r="D13" s="12">
        <f>VLOOKUP(A13,Dataset!$A$1:$X$40,18,0)</f>
        <v>0</v>
      </c>
      <c r="E13" s="12">
        <f>VLOOKUP(A13,Dataset!$A$1:$X$40,20,0)</f>
        <v>0</v>
      </c>
      <c r="F13" s="8">
        <f>VLOOKUP(A13,Dataset!$A$1:$X$40,22,0)</f>
        <v>0</v>
      </c>
    </row>
    <row r="14" spans="1:7" ht="15" x14ac:dyDescent="0.25">
      <c r="A14" s="7" t="s">
        <v>16</v>
      </c>
      <c r="B14" s="12">
        <f>VLOOKUP(A14,Dataset!$A$1:$X$40,7,0)</f>
        <v>21.9</v>
      </c>
      <c r="C14" s="12">
        <f>VLOOKUP(A14,Dataset!$A$1:$X$40,14,0)</f>
        <v>61.5</v>
      </c>
      <c r="D14" s="12">
        <f>VLOOKUP(A14,Dataset!$A$1:$X$40,18,0)</f>
        <v>40.1</v>
      </c>
      <c r="E14" s="12">
        <f>VLOOKUP(A14,Dataset!$A$1:$X$40,20,0)</f>
        <v>76.599999999999994</v>
      </c>
      <c r="F14" s="8">
        <f>VLOOKUP(A14,Dataset!$A$1:$X$40,22,0)</f>
        <v>40.1</v>
      </c>
    </row>
    <row r="15" spans="1:7" ht="15" x14ac:dyDescent="0.25">
      <c r="A15" s="7" t="s">
        <v>18</v>
      </c>
      <c r="B15" s="12">
        <f>VLOOKUP(A15,Dataset!$A$1:$X$40,7,0)</f>
        <v>26.8</v>
      </c>
      <c r="C15" s="12">
        <f>VLOOKUP(A15,Dataset!$A$1:$X$40,14,0)</f>
        <v>79.599999999999994</v>
      </c>
      <c r="D15" s="12">
        <f>VLOOKUP(A15,Dataset!$A$1:$X$40,18,0)</f>
        <v>47.9</v>
      </c>
      <c r="E15" s="12">
        <f>VLOOKUP(A15,Dataset!$A$1:$X$40,20,0)</f>
        <v>96.8</v>
      </c>
      <c r="F15" s="8">
        <f>VLOOKUP(A15,Dataset!$A$1:$X$40,22,0)</f>
        <v>47.9</v>
      </c>
    </row>
    <row r="16" spans="1:7" ht="15" x14ac:dyDescent="0.25">
      <c r="A16" s="7" t="s">
        <v>20</v>
      </c>
      <c r="B16" s="12">
        <f>VLOOKUP(A16,Dataset!$A$1:$X$40,7,0)</f>
        <v>28.5</v>
      </c>
      <c r="C16" s="12">
        <f>VLOOKUP(A16,Dataset!$A$1:$X$40,14,0)</f>
        <v>85.4</v>
      </c>
      <c r="D16" s="12">
        <f>VLOOKUP(A16,Dataset!$A$1:$X$40,18,0)</f>
        <v>52.3</v>
      </c>
      <c r="E16" s="12">
        <f>VLOOKUP(A16,Dataset!$A$1:$X$40,20,0)</f>
        <v>106.1</v>
      </c>
      <c r="F16" s="8">
        <f>VLOOKUP(A16,Dataset!$A$1:$X$40,22,0)</f>
        <v>52.3</v>
      </c>
    </row>
    <row r="17" spans="1:6" ht="15" x14ac:dyDescent="0.25">
      <c r="A17" s="7" t="s">
        <v>22</v>
      </c>
      <c r="B17" s="12">
        <f>VLOOKUP(A17,Dataset!$A$1:$X$40,7,0)</f>
        <v>30.7</v>
      </c>
      <c r="C17" s="12">
        <f>VLOOKUP(A17,Dataset!$A$1:$X$40,14,0)</f>
        <v>92.1</v>
      </c>
      <c r="D17" s="12">
        <f>VLOOKUP(A17,Dataset!$A$1:$X$40,18,0)</f>
        <v>57</v>
      </c>
      <c r="E17" s="12">
        <f>VLOOKUP(A17,Dataset!$A$1:$X$40,20,0)</f>
        <v>115.1</v>
      </c>
      <c r="F17" s="8">
        <f>VLOOKUP(A17,Dataset!$A$1:$X$40,22,0)</f>
        <v>57</v>
      </c>
    </row>
    <row r="18" spans="1:6" ht="15" x14ac:dyDescent="0.25">
      <c r="A18" s="7" t="s">
        <v>23</v>
      </c>
      <c r="B18" s="12">
        <f>VLOOKUP(A18,Dataset!$A$1:$X$40,7,0)</f>
        <v>33.799999999999997</v>
      </c>
      <c r="C18" s="12">
        <f>VLOOKUP(A18,Dataset!$A$1:$X$40,14,0)</f>
        <v>101.3</v>
      </c>
      <c r="D18" s="12">
        <f>VLOOKUP(A18,Dataset!$A$1:$X$40,18,0)</f>
        <v>61.4</v>
      </c>
      <c r="E18" s="12">
        <f>VLOOKUP(A18,Dataset!$A$1:$X$40,20,0)</f>
        <v>124.4</v>
      </c>
      <c r="F18" s="8">
        <f>VLOOKUP(A18,Dataset!$A$1:$X$40,22,0)</f>
        <v>61.4</v>
      </c>
    </row>
    <row r="19" spans="1:6" ht="15" x14ac:dyDescent="0.25">
      <c r="A19" s="7" t="s">
        <v>24</v>
      </c>
      <c r="B19" s="12">
        <f>VLOOKUP(A19,Dataset!$A$1:$X$40,7,0)</f>
        <v>34.700000000000003</v>
      </c>
      <c r="C19" s="12">
        <f>VLOOKUP(A19,Dataset!$A$1:$X$40,14,0)</f>
        <v>106.1</v>
      </c>
      <c r="D19" s="12">
        <f>VLOOKUP(A19,Dataset!$A$1:$X$40,18,0)</f>
        <v>63.6</v>
      </c>
      <c r="E19" s="12">
        <f>VLOOKUP(A19,Dataset!$A$1:$X$40,20,0)</f>
        <v>128.6</v>
      </c>
      <c r="F19" s="8">
        <f>VLOOKUP(A19,Dataset!$A$1:$X$40,22,0)</f>
        <v>63.6</v>
      </c>
    </row>
    <row r="20" spans="1:6" ht="15" x14ac:dyDescent="0.25">
      <c r="A20" s="7" t="s">
        <v>28</v>
      </c>
      <c r="B20" s="12">
        <f>VLOOKUP(A20,Dataset!$A$1:$X$40,7,0)</f>
        <v>0</v>
      </c>
      <c r="C20" s="12">
        <f>VLOOKUP(A20,Dataset!$A$1:$X$40,14,0)</f>
        <v>0</v>
      </c>
      <c r="D20" s="12">
        <f>VLOOKUP(A20,Dataset!$A$1:$X$40,18,0)</f>
        <v>0</v>
      </c>
      <c r="E20" s="12">
        <f>VLOOKUP(A20,Dataset!$A$1:$X$40,20,0)</f>
        <v>0</v>
      </c>
      <c r="F20" s="8">
        <f>VLOOKUP(A20,Dataset!$A$1:$X$40,22,0)</f>
        <v>0</v>
      </c>
    </row>
    <row r="21" spans="1:6" ht="15" x14ac:dyDescent="0.25">
      <c r="A21" s="7" t="s">
        <v>57</v>
      </c>
      <c r="B21" s="12">
        <f>VLOOKUP(A21,Dataset!$A$1:$X$40,7,0)</f>
        <v>41.3</v>
      </c>
      <c r="C21" s="12">
        <f>VLOOKUP(A21,Dataset!$A$1:$X$40,14,0)</f>
        <v>124.4</v>
      </c>
      <c r="D21" s="12">
        <f>VLOOKUP(A21,Dataset!$A$1:$X$40,18,0)</f>
        <v>75</v>
      </c>
      <c r="E21" s="12">
        <f>VLOOKUP(A21,Dataset!$A$1:$X$40,20,0)</f>
        <v>151.5</v>
      </c>
      <c r="F21" s="8">
        <f>VLOOKUP(A21,Dataset!$A$1:$X$40,22,0)</f>
        <v>75</v>
      </c>
    </row>
    <row r="22" spans="1:6" ht="15" x14ac:dyDescent="0.25">
      <c r="A22" s="7" t="s">
        <v>58</v>
      </c>
      <c r="B22" s="12">
        <f>VLOOKUP(A22,Dataset!$A$1:$X$40,7,0)</f>
        <v>-1</v>
      </c>
      <c r="C22" s="12">
        <f>VLOOKUP(A22,Dataset!$A$1:$X$40,14,0)</f>
        <v>-1</v>
      </c>
      <c r="D22" s="12">
        <f>VLOOKUP(A22,Dataset!$A$1:$X$40,18,0)</f>
        <v>-1</v>
      </c>
      <c r="E22" s="12">
        <f>VLOOKUP(A22,Dataset!$A$1:$X$40,20,0)</f>
        <v>-1</v>
      </c>
      <c r="F22" s="8">
        <f>VLOOKUP(A22,Dataset!$A$1:$X$40,22,0)</f>
        <v>-1</v>
      </c>
    </row>
    <row r="23" spans="1:6" ht="15" x14ac:dyDescent="0.25">
      <c r="A23" s="7" t="s">
        <v>31</v>
      </c>
      <c r="B23" s="12">
        <f>VLOOKUP(A23,Dataset!$A$1:$X$40,7,0)</f>
        <v>45</v>
      </c>
      <c r="C23" s="12">
        <f>VLOOKUP(A23,Dataset!$A$1:$X$40,14,0)</f>
        <v>133.4</v>
      </c>
      <c r="D23" s="12">
        <f>VLOOKUP(A23,Dataset!$A$1:$X$40,18,0)</f>
        <v>79.400000000000006</v>
      </c>
      <c r="E23" s="12">
        <f>VLOOKUP(A23,Dataset!$A$1:$X$40,20,0)</f>
        <v>160.9</v>
      </c>
      <c r="F23" s="8">
        <f>VLOOKUP(A23,Dataset!$A$1:$X$40,22,0)</f>
        <v>79.400000000000006</v>
      </c>
    </row>
    <row r="24" spans="1:6" ht="15" x14ac:dyDescent="0.25">
      <c r="A24" s="7" t="s">
        <v>32</v>
      </c>
      <c r="B24" s="12">
        <f>VLOOKUP(A24,Dataset!$A$1:$X$40,7,0)</f>
        <v>-1</v>
      </c>
      <c r="C24" s="12">
        <f>VLOOKUP(A24,Dataset!$A$1:$X$40,14,0)</f>
        <v>-1</v>
      </c>
      <c r="D24" s="12">
        <f>VLOOKUP(A24,Dataset!$A$1:$X$40,18,0)</f>
        <v>-1</v>
      </c>
      <c r="E24" s="12">
        <f>VLOOKUP(A24,Dataset!$A$1:$X$40,20,0)</f>
        <v>-1</v>
      </c>
      <c r="F24" s="8">
        <f>VLOOKUP(A24,Dataset!$A$1:$X$40,22,0)</f>
        <v>-1</v>
      </c>
    </row>
    <row r="25" spans="1:6" ht="15" x14ac:dyDescent="0.25">
      <c r="A25" s="7" t="s">
        <v>34</v>
      </c>
      <c r="B25" s="12">
        <f>VLOOKUP(A25,Dataset!$A$1:$X$40,7,0)</f>
        <v>43.3</v>
      </c>
      <c r="C25" s="12">
        <f>VLOOKUP(A25,Dataset!$A$1:$X$40,14,0)</f>
        <v>128.6</v>
      </c>
      <c r="D25" s="12">
        <f>VLOOKUP(A25,Dataset!$A$1:$X$40,18,0)</f>
        <v>79.400000000000006</v>
      </c>
      <c r="E25" s="12">
        <f>VLOOKUP(A25,Dataset!$A$1:$X$40,20,0)</f>
        <v>160.9</v>
      </c>
      <c r="F25" s="8">
        <f>VLOOKUP(A25,Dataset!$A$1:$X$40,22,0)</f>
        <v>79.400000000000006</v>
      </c>
    </row>
    <row r="26" spans="1:6" ht="15" x14ac:dyDescent="0.25">
      <c r="A26" s="7" t="s">
        <v>37</v>
      </c>
      <c r="B26" s="12">
        <f>VLOOKUP(A26,Dataset!$A$1:$X$40,7,0)</f>
        <v>49.1</v>
      </c>
      <c r="C26" s="12">
        <f>VLOOKUP(A26,Dataset!$A$1:$X$40,14,0)</f>
        <v>146.80000000000001</v>
      </c>
      <c r="D26" s="12">
        <f>VLOOKUP(A26,Dataset!$A$1:$X$40,18,0)</f>
        <v>90.9</v>
      </c>
      <c r="E26" s="12">
        <f>VLOOKUP(A26,Dataset!$A$1:$X$40,20,0)</f>
        <v>183.5</v>
      </c>
      <c r="F26" s="8">
        <f>VLOOKUP(A26,Dataset!$A$1:$X$40,22,0)</f>
        <v>90.9</v>
      </c>
    </row>
    <row r="27" spans="1:6" ht="15" x14ac:dyDescent="0.25">
      <c r="A27" s="7" t="s">
        <v>39</v>
      </c>
      <c r="B27" s="12">
        <f>VLOOKUP(A27,Dataset!$A$1:$X$40,7,0)</f>
        <v>51.8</v>
      </c>
      <c r="C27" s="12">
        <f>VLOOKUP(A27,Dataset!$A$1:$X$40,14,0)</f>
        <v>156.4</v>
      </c>
      <c r="D27" s="12">
        <f>VLOOKUP(A27,Dataset!$A$1:$X$40,18,0)</f>
        <v>93.1</v>
      </c>
      <c r="E27" s="12">
        <f>VLOOKUP(A27,Dataset!$A$1:$X$40,20,0)</f>
        <v>188.1</v>
      </c>
      <c r="F27" s="8">
        <f>VLOOKUP(A27,Dataset!$A$1:$X$40,22,0)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G12" sqref="G12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177</v>
      </c>
    </row>
    <row r="6" spans="1:10" ht="18.75" x14ac:dyDescent="0.3">
      <c r="A6" s="43" t="s">
        <v>153</v>
      </c>
      <c r="B6" s="40" t="s">
        <v>178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F13" sqref="F1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2" t="s">
        <v>85</v>
      </c>
      <c r="B1" s="41" t="s">
        <v>167</v>
      </c>
    </row>
    <row r="2" spans="1:4" ht="18.75" x14ac:dyDescent="0.3">
      <c r="B2" s="40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 t="s">
        <v>179</v>
      </c>
    </row>
    <row r="7" spans="1:4" ht="15" x14ac:dyDescent="0.25">
      <c r="A7" s="3" t="s">
        <v>153</v>
      </c>
      <c r="B7" s="1" t="s">
        <v>180</v>
      </c>
    </row>
    <row r="10" spans="1:4" ht="23.25" x14ac:dyDescent="0.35">
      <c r="A10" s="18" t="s">
        <v>162</v>
      </c>
    </row>
    <row r="11" spans="1:4" ht="15" x14ac:dyDescent="0.25">
      <c r="A11" s="32" t="s">
        <v>86</v>
      </c>
      <c r="B11" s="17" t="s">
        <v>87</v>
      </c>
      <c r="C11" s="17" t="s">
        <v>88</v>
      </c>
    </row>
    <row r="12" spans="1:4" ht="15" x14ac:dyDescent="0.25">
      <c r="A12" s="32">
        <v>44927</v>
      </c>
      <c r="B12" s="17" t="s">
        <v>59</v>
      </c>
      <c r="C12" s="17">
        <v>200</v>
      </c>
      <c r="D12" s="2">
        <f>_xlfn.IFNA(C12,20)</f>
        <v>200</v>
      </c>
    </row>
    <row r="13" spans="1:4" ht="15" x14ac:dyDescent="0.25">
      <c r="A13" s="32">
        <v>44928</v>
      </c>
      <c r="B13" s="17" t="s">
        <v>60</v>
      </c>
      <c r="C13" s="17" t="e">
        <v>#N/A</v>
      </c>
      <c r="D13" s="2">
        <f t="shared" ref="D13:D21" si="0">_xlfn.IFNA(C13,20)</f>
        <v>20</v>
      </c>
    </row>
    <row r="14" spans="1:4" ht="15" x14ac:dyDescent="0.25">
      <c r="A14" s="32">
        <v>44929</v>
      </c>
      <c r="B14" s="17" t="s">
        <v>61</v>
      </c>
      <c r="C14" s="17">
        <v>50</v>
      </c>
      <c r="D14" s="2">
        <f t="shared" si="0"/>
        <v>50</v>
      </c>
    </row>
    <row r="15" spans="1:4" ht="15" x14ac:dyDescent="0.25">
      <c r="A15" s="32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5" x14ac:dyDescent="0.25">
      <c r="A16" s="32">
        <v>44931</v>
      </c>
      <c r="B16" s="17" t="s">
        <v>63</v>
      </c>
      <c r="C16" s="17">
        <v>10</v>
      </c>
      <c r="D16" s="2">
        <f t="shared" si="0"/>
        <v>10</v>
      </c>
    </row>
    <row r="17" spans="1:4" ht="15" x14ac:dyDescent="0.25">
      <c r="A17" s="32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5" x14ac:dyDescent="0.25">
      <c r="A18" s="32">
        <v>44933</v>
      </c>
      <c r="B18" s="17" t="s">
        <v>155</v>
      </c>
      <c r="C18" s="17">
        <v>80</v>
      </c>
      <c r="D18" s="2">
        <f t="shared" si="0"/>
        <v>80</v>
      </c>
    </row>
    <row r="19" spans="1:4" ht="15" x14ac:dyDescent="0.25">
      <c r="A19" s="32">
        <v>44934</v>
      </c>
      <c r="B19" s="17" t="s">
        <v>156</v>
      </c>
      <c r="C19" s="17" t="e">
        <v>#N/A</v>
      </c>
      <c r="D19" s="2">
        <f t="shared" si="0"/>
        <v>20</v>
      </c>
    </row>
    <row r="20" spans="1:4" ht="15" x14ac:dyDescent="0.25">
      <c r="A20" s="32">
        <v>44935</v>
      </c>
      <c r="B20" s="17" t="s">
        <v>157</v>
      </c>
      <c r="C20" s="17">
        <v>30</v>
      </c>
      <c r="D20" s="2">
        <f t="shared" si="0"/>
        <v>30</v>
      </c>
    </row>
    <row r="21" spans="1:4" ht="15" x14ac:dyDescent="0.25">
      <c r="A21" s="32">
        <v>44936</v>
      </c>
      <c r="B21" s="17" t="s">
        <v>158</v>
      </c>
      <c r="C21" s="17" t="e">
        <v>#N/A</v>
      </c>
      <c r="D21" s="2">
        <f t="shared" si="0"/>
        <v>20</v>
      </c>
    </row>
    <row r="22" spans="1:4" ht="15" x14ac:dyDescent="0.25">
      <c r="B22" s="17" t="s">
        <v>159</v>
      </c>
      <c r="C22" s="25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I8" sqref="I8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  <c r="C4" s="2" t="s">
        <v>181</v>
      </c>
    </row>
    <row r="5" spans="1:14" ht="18.75" x14ac:dyDescent="0.3">
      <c r="A5" s="43" t="s">
        <v>153</v>
      </c>
      <c r="B5" s="1"/>
      <c r="C5" s="2" t="s">
        <v>182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f>INDEX($A$9:$J$18,MATCH(A23,$M$10:$M$18,0)+1,MATCH(B23,$M$10:$M$18,0)+1)</f>
        <v>95</v>
      </c>
    </row>
    <row r="24" spans="1:14" ht="15" x14ac:dyDescent="0.25">
      <c r="A24" s="7">
        <v>10100</v>
      </c>
      <c r="B24" s="12">
        <v>10104</v>
      </c>
      <c r="C24" s="44">
        <f t="shared" ref="C24:C35" si="0">INDEX($A$9:$J$18,MATCH(A24,$M$10:$M$18,0)+1,MATCH(B24,$M$10:$M$18,0)+1)</f>
        <v>-1</v>
      </c>
    </row>
    <row r="25" spans="1:14" ht="15" x14ac:dyDescent="0.25">
      <c r="A25" s="7">
        <v>10108</v>
      </c>
      <c r="B25" s="12">
        <v>10102</v>
      </c>
      <c r="C25" s="44">
        <f t="shared" si="0"/>
        <v>160</v>
      </c>
    </row>
    <row r="26" spans="1:14" ht="15" x14ac:dyDescent="0.25">
      <c r="A26" s="7">
        <v>10100</v>
      </c>
      <c r="B26" s="12">
        <v>10106</v>
      </c>
      <c r="C26" s="44">
        <f t="shared" si="0"/>
        <v>185</v>
      </c>
    </row>
    <row r="27" spans="1:14" ht="15" x14ac:dyDescent="0.25">
      <c r="A27" s="7">
        <v>10108</v>
      </c>
      <c r="B27" s="12">
        <v>10110</v>
      </c>
      <c r="C27" s="44">
        <f t="shared" si="0"/>
        <v>50</v>
      </c>
    </row>
    <row r="28" spans="1:14" ht="15" x14ac:dyDescent="0.25">
      <c r="A28" s="7">
        <v>10102</v>
      </c>
      <c r="B28" s="12">
        <v>10104</v>
      </c>
      <c r="C28" s="44">
        <f t="shared" si="0"/>
        <v>-1</v>
      </c>
    </row>
    <row r="29" spans="1:14" ht="15" x14ac:dyDescent="0.25">
      <c r="A29" s="7">
        <v>10106</v>
      </c>
      <c r="B29" s="12">
        <v>10108</v>
      </c>
      <c r="C29" s="44">
        <f t="shared" si="0"/>
        <v>70</v>
      </c>
    </row>
    <row r="30" spans="1:14" ht="15" x14ac:dyDescent="0.25">
      <c r="A30" s="7">
        <v>10102</v>
      </c>
      <c r="B30" s="12">
        <v>10106</v>
      </c>
      <c r="C30" s="44">
        <f t="shared" si="0"/>
        <v>90</v>
      </c>
    </row>
    <row r="31" spans="1:14" ht="15" x14ac:dyDescent="0.25">
      <c r="A31" s="7">
        <v>10110</v>
      </c>
      <c r="B31" s="12">
        <v>10114</v>
      </c>
      <c r="C31" s="44">
        <f t="shared" si="0"/>
        <v>180</v>
      </c>
    </row>
    <row r="32" spans="1:14" ht="15" x14ac:dyDescent="0.25">
      <c r="A32" s="7">
        <v>10104</v>
      </c>
      <c r="B32" s="12">
        <v>10106</v>
      </c>
      <c r="C32" s="44">
        <f t="shared" si="0"/>
        <v>60</v>
      </c>
    </row>
    <row r="33" spans="1:3" ht="15" x14ac:dyDescent="0.25">
      <c r="A33" s="7">
        <v>10110</v>
      </c>
      <c r="B33" s="12">
        <v>10112</v>
      </c>
      <c r="C33" s="44">
        <f t="shared" si="0"/>
        <v>115</v>
      </c>
    </row>
    <row r="34" spans="1:3" ht="15" x14ac:dyDescent="0.25">
      <c r="A34" s="7">
        <v>10100</v>
      </c>
      <c r="B34" s="12">
        <v>10114</v>
      </c>
      <c r="C34" s="44">
        <f t="shared" si="0"/>
        <v>480</v>
      </c>
    </row>
    <row r="35" spans="1:3" ht="15" x14ac:dyDescent="0.25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ARWINND MVSS</cp:lastModifiedBy>
  <dcterms:created xsi:type="dcterms:W3CDTF">2015-02-10T17:33:11Z</dcterms:created>
  <dcterms:modified xsi:type="dcterms:W3CDTF">2023-12-10T18:21:21Z</dcterms:modified>
</cp:coreProperties>
</file>